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Delta" sheetId="1" state="visible" r:id="rId3"/>
    <sheet name="Margin Trend (Last 3mo)" sheetId="2" state="visible" r:id="rId4"/>
    <sheet name="Revenue at Risk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<sst xmlns="http://schemas.openxmlformats.org/spreadsheetml/2006/main" count="237" uniqueCount="112">
  <si>
    <t xml:space="preserve">SKU</t>
  </si>
  <si>
    <t xml:space="preserve">Product Name</t>
  </si>
  <si>
    <t xml:space="preserve">Category</t>
  </si>
  <si>
    <t xml:space="preserve">Our Price (INR)</t>
  </si>
  <si>
    <t xml:space="preserve">Competitor Price (INR)</t>
  </si>
  <si>
    <t xml:space="preserve">Price Delta %</t>
  </si>
  <si>
    <t xml:space="preserve">Above Market &gt;10%?</t>
  </si>
  <si>
    <t xml:space="preserve">Competitor Source</t>
  </si>
  <si>
    <t xml:space="preserve">Listing URL</t>
  </si>
  <si>
    <t xml:space="preserve">Scraped At (UTC)</t>
  </si>
  <si>
    <t xml:space="preserve">ACT-001</t>
  </si>
  <si>
    <t xml:space="preserve">Seamless Training Leggings</t>
  </si>
  <si>
    <t xml:space="preserve">Activewear</t>
  </si>
  <si>
    <t xml:space="preserve">Amazon</t>
  </si>
  <si>
    <t xml:space="preserve">https://www.amazon.in/dp/B0FPFT8FC3</t>
  </si>
  <si>
    <t xml:space="preserve">2026-07-12 06:32:56 UTC</t>
  </si>
  <si>
    <t xml:space="preserve">ACT-002</t>
  </si>
  <si>
    <t xml:space="preserve">Compression Running Tights</t>
  </si>
  <si>
    <t xml:space="preserve">N/A</t>
  </si>
  <si>
    <t xml:space="preserve">No competitor data</t>
  </si>
  <si>
    <t xml:space="preserve">Not scraped</t>
  </si>
  <si>
    <t xml:space="preserve">ACT-003</t>
  </si>
  <si>
    <t xml:space="preserve">Performance Gym Tank</t>
  </si>
  <si>
    <t xml:space="preserve">ACT-004</t>
  </si>
  <si>
    <t xml:space="preserve">Zip-Up Track Jacket</t>
  </si>
  <si>
    <t xml:space="preserve">Flipkart</t>
  </si>
  <si>
    <t xml:space="preserve">https://www.flipkart.com/savage-full-sleeve-solid-men-jacket/p/itma9f67cd3b5032?pid=JCKHHWAWBGUKKBAJ</t>
  </si>
  <si>
    <t xml:space="preserve">2026-07-12 06:34:11 UTC</t>
  </si>
  <si>
    <t xml:space="preserve">ACT-005</t>
  </si>
  <si>
    <t xml:space="preserve">High-Waist Yoga Shorts</t>
  </si>
  <si>
    <t xml:space="preserve">ACT-006</t>
  </si>
  <si>
    <t xml:space="preserve">Padded Sports Bra</t>
  </si>
  <si>
    <t xml:space="preserve">DRS-001</t>
  </si>
  <si>
    <t xml:space="preserve">Floral Wrap Midi Dress</t>
  </si>
  <si>
    <t xml:space="preserve">Dresses</t>
  </si>
  <si>
    <t xml:space="preserve">https://www.amazon.in/dp/B0B3944HW5</t>
  </si>
  <si>
    <t xml:space="preserve">DRS-002</t>
  </si>
  <si>
    <t xml:space="preserve">Linen Shirt Dress</t>
  </si>
  <si>
    <t xml:space="preserve">DRS-003</t>
  </si>
  <si>
    <t xml:space="preserve">Bodycon Party Dress</t>
  </si>
  <si>
    <t xml:space="preserve">https://www.flipkart.com/riaash-women-bodycon-black-maxi-full-length-dress/p/itm7a73460d9a40f?pid=DREHEBBUZFRYBHJU</t>
  </si>
  <si>
    <t xml:space="preserve">DRS-004</t>
  </si>
  <si>
    <t xml:space="preserve">A-Line Cotton Dress</t>
  </si>
  <si>
    <t xml:space="preserve">DRS-005</t>
  </si>
  <si>
    <t xml:space="preserve">Maxi Summer Dress</t>
  </si>
  <si>
    <t xml:space="preserve">DRS-006</t>
  </si>
  <si>
    <t xml:space="preserve">Denim Pinafore Dress</t>
  </si>
  <si>
    <t xml:space="preserve">LNG-001</t>
  </si>
  <si>
    <t xml:space="preserve">Cotton Pyjama Set</t>
  </si>
  <si>
    <t xml:space="preserve">Loungewear &amp; Nightwear</t>
  </si>
  <si>
    <t xml:space="preserve">https://www.amazon.in/dp/B0GQP32S4M</t>
  </si>
  <si>
    <t xml:space="preserve">LNG-002</t>
  </si>
  <si>
    <t xml:space="preserve">Fleece Lounge Hoodie</t>
  </si>
  <si>
    <t xml:space="preserve">LNG-003</t>
  </si>
  <si>
    <t xml:space="preserve">Satin Nightdress</t>
  </si>
  <si>
    <t xml:space="preserve">https://www.flipkart.com/onms-women-nighty-set/p/itmb0aff5cdd59cb?pid=NDNHGDUMYYAZ8CPZ</t>
  </si>
  <si>
    <t xml:space="preserve">LNG-004</t>
  </si>
  <si>
    <t xml:space="preserve">Joggers - Lounge Fit</t>
  </si>
  <si>
    <t xml:space="preserve">LNG-005</t>
  </si>
  <si>
    <t xml:space="preserve">Co-ord Set - Ribbed Knit</t>
  </si>
  <si>
    <t xml:space="preserve">LNG-006</t>
  </si>
  <si>
    <t xml:space="preserve">Oversized Sleep Shirt</t>
  </si>
  <si>
    <t xml:space="preserve">TSH-001</t>
  </si>
  <si>
    <t xml:space="preserve">Classic Crew Neck Tee - White</t>
  </si>
  <si>
    <t xml:space="preserve">T-Shirts &amp; Tees</t>
  </si>
  <si>
    <t xml:space="preserve">https://www.amazon.in/dp/B0DSLF412S</t>
  </si>
  <si>
    <t xml:space="preserve">TSH-002</t>
  </si>
  <si>
    <t xml:space="preserve">Classic Crew Neck Tee - Black</t>
  </si>
  <si>
    <t xml:space="preserve">https://www.flipkart.com/nilan-impex-solid-men-round-neck-black-t-shirt/p/itm91641149bbe38?pid=TSHGZ3KRUXS3EYXJ</t>
  </si>
  <si>
    <t xml:space="preserve">TSH-003</t>
  </si>
  <si>
    <t xml:space="preserve">Oversized Drop Shoulder Tee</t>
  </si>
  <si>
    <t xml:space="preserve">https://www.amazon.in/dp/B0FR1MLW19</t>
  </si>
  <si>
    <t xml:space="preserve">TSH-004</t>
  </si>
  <si>
    <t xml:space="preserve">Graphic Print Tee - Retro Series</t>
  </si>
  <si>
    <t xml:space="preserve">https://www.flipkart.com/mania-fashion-graphic-print-men-round-neck-black-t-shirt/p/itm96870ace30cb1?pid=TSHHZEDDAENJQWAV</t>
  </si>
  <si>
    <t xml:space="preserve">TSH-005</t>
  </si>
  <si>
    <t xml:space="preserve">Henley Neck Tee</t>
  </si>
  <si>
    <t xml:space="preserve">TSH-006</t>
  </si>
  <si>
    <t xml:space="preserve">Polo Tee - Pique Cotton</t>
  </si>
  <si>
    <t xml:space="preserve">TSH-007</t>
  </si>
  <si>
    <t xml:space="preserve">Striped Tee - Coastal Edit</t>
  </si>
  <si>
    <t xml:space="preserve">Note: ACT-001's competitor listing (CRZ YOGA, premium import) is not a like-for-like comp despite being the top search result. Grey rows = no competitor price was scraped for that SKU (missing data, not zero delta).</t>
  </si>
  <si>
    <t xml:space="preserve">Apr-2026 Margin %</t>
  </si>
  <si>
    <t xml:space="preserve">May-2026 Margin %</t>
  </si>
  <si>
    <t xml:space="preserve">Jun-2026 Margin %</t>
  </si>
  <si>
    <t xml:space="preserve">X1</t>
  </si>
  <si>
    <t xml:space="preserve">X2</t>
  </si>
  <si>
    <t xml:space="preserve">X3</t>
  </si>
  <si>
    <t xml:space="preserve">Slope (pts/month)</t>
  </si>
  <si>
    <t xml:space="preserve">Monotonic Decline?</t>
  </si>
  <si>
    <t xml:space="preserve">Declining Flag</t>
  </si>
  <si>
    <t xml:space="preserve">Method: linear regression slope of margin% over months Apr/May/Jun 2026 (x=1,2,3). Declining Flag requires slope &lt; -1.0 pt/month AND monotonically decreasing each month (both conditions) -- a threshold judgment call, see Assumptions tab.</t>
  </si>
  <si>
    <t xml:space="preserve">June Units</t>
  </si>
  <si>
    <t xml:space="preserve">June Revenue (INR)</t>
  </si>
  <si>
    <t xml:space="preserve">June Margin %</t>
  </si>
  <si>
    <t xml:space="preserve">Current Gross Profit (INR)</t>
  </si>
  <si>
    <t xml:space="preserve">Implied Unit Cost (INR)</t>
  </si>
  <si>
    <t xml:space="preserve">New Revenue if Matched (INR)</t>
  </si>
  <si>
    <t xml:space="preserve">New Gross Profit (INR)</t>
  </si>
  <si>
    <t xml:space="preserve">New Margin %</t>
  </si>
  <si>
    <t xml:space="preserve">Monthly Profit Swing (INR)</t>
  </si>
  <si>
    <t xml:space="preserve">Cross-reference: these are the only 3 SKUs that are BOTH margin-declining (Margin Trend tab) AND priced &gt;10% above the scraped competitor price (Price Delta tab). Volumes held constant at June 2026 actuals -- this does not model any demand response to a price change.</t>
  </si>
  <si>
    <t xml:space="preserve">Presented as evidence only -- no pricing recommendation is made or implied.</t>
  </si>
  <si>
    <t xml:space="preserve">Assumptions &amp; Notes</t>
  </si>
  <si>
    <t xml:space="preserve">1. Volume held constant: revenue-at-risk math assumes June 2026 unit volumes are unchanged if price is cut to match competitor price. Real-world demand response is not modeled.</t>
  </si>
  <si>
    <t xml:space="preserve">2. Declining-margin threshold: slope &lt; -1.0 percentage point/month AND monotonically decreasing all 3 months (both conditions required). Three other SKUs (LNG-003, TSH-002, DRS-006) were monotonically declining but milder (-0.5 to -0.7 pts/month) and were NOT flagged under this threshold -- see Margin Trend tab.</t>
  </si>
  <si>
    <t xml:space="preserve">3. Implied unit cost is derived (revenue x (1-margin%) / units) from the reported gross margin %, not pulled from a separate cost-per-month source field -- sales_monthly.csv does not carry a monthly cost column directly.</t>
  </si>
  <si>
    <t xml:space="preserve">4. Competitor price = top-ranked result from a category/keyword search at scrape time, since source URLs were search pages, not fixed product pages. This price can change on a re-scrape and may not represent the single best comparable product.</t>
  </si>
  <si>
    <t xml:space="preserve">5. ACT-001's scraped competitor (CRZ YOGA leggings) is a premium import brand, not a like-for-like comparison to our ACT-001 leggings -- included in the Price Delta tab for completeness but excluded from the &gt;10%-above-market flag logic (we are priced below this comp, not above).</t>
  </si>
  <si>
    <t xml:space="preserve">6. Flipkart availability field was empty (not returned) for all 5 Flipkart-sourced SKUs at scrape time -- their in-stock status is unknown, not assumed to be in-stock.</t>
  </si>
  <si>
    <t xml:space="preserve">7. All prices are as scraped at the timestamps shown on the Price Delta tab (2026-07-12) and will drift over time.</t>
  </si>
  <si>
    <t xml:space="preserve">8. No pricing or investment recommendation is made anywhere in this workbook -- all tabs present evidence for the reader to decide on.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</si>
</sst>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%"/>
    <numFmt numFmtId="166" formatCode="0.00"/>
    <numFmt numFmtId="167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i val="true"/>
      <sz val="9"/>
      <color rgb="FF80808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52"/>
    <col collapsed="false" customWidth="true" hidden="false" outlineLevel="0" max="10" min="10" style="0" width="2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3.85" hidden="false" customHeight="false" outlineLevel="0" collapsed="false">
      <c r="A2" s="2" t="s">
        <v>10</v>
      </c>
      <c r="B2" s="2" t="s">
        <v>11</v>
      </c>
      <c r="C2" s="2" t="s">
        <v>12</v>
      </c>
      <c r="D2" s="3" t="n">
        <v>1299</v>
      </c>
      <c r="E2" s="3" t="n">
        <v>6615.78</v>
      </c>
      <c r="F2" s="4" t="n">
        <f aca="false">(D2-E2)/E2</f>
        <v>-0.803651270145017</v>
      </c>
      <c r="G2" s="2" t="str">
        <f aca="false">IF(F2&gt;0.1,"YES","No")</f>
        <v>No</v>
      </c>
      <c r="H2" s="2" t="s">
        <v>13</v>
      </c>
      <c r="I2" s="2" t="s">
        <v>14</v>
      </c>
      <c r="J2" s="2" t="s">
        <v>15</v>
      </c>
    </row>
    <row r="3" customFormat="false" ht="22.35" hidden="false" customHeight="false" outlineLevel="0" collapsed="false">
      <c r="A3" s="5" t="s">
        <v>16</v>
      </c>
      <c r="B3" s="5" t="s">
        <v>17</v>
      </c>
      <c r="C3" s="5" t="s">
        <v>12</v>
      </c>
      <c r="D3" s="6" t="n">
        <v>1399</v>
      </c>
      <c r="E3" s="7" t="s">
        <v>18</v>
      </c>
      <c r="F3" s="7" t="s">
        <v>19</v>
      </c>
      <c r="G3" s="7" t="s">
        <v>19</v>
      </c>
      <c r="H3" s="7"/>
      <c r="I3" s="7" t="s">
        <v>20</v>
      </c>
      <c r="J3" s="7"/>
    </row>
    <row r="4" customFormat="false" ht="22.35" hidden="false" customHeight="false" outlineLevel="0" collapsed="false">
      <c r="A4" s="5" t="s">
        <v>21</v>
      </c>
      <c r="B4" s="5" t="s">
        <v>22</v>
      </c>
      <c r="C4" s="5" t="s">
        <v>12</v>
      </c>
      <c r="D4" s="6" t="n">
        <v>699</v>
      </c>
      <c r="E4" s="7" t="s">
        <v>18</v>
      </c>
      <c r="F4" s="7" t="s">
        <v>19</v>
      </c>
      <c r="G4" s="7" t="s">
        <v>19</v>
      </c>
      <c r="H4" s="7"/>
      <c r="I4" s="7" t="s">
        <v>20</v>
      </c>
      <c r="J4" s="7"/>
    </row>
    <row r="5" customFormat="false" ht="23.85" hidden="false" customHeight="false" outlineLevel="0" collapsed="false">
      <c r="A5" s="2" t="s">
        <v>23</v>
      </c>
      <c r="B5" s="2" t="s">
        <v>24</v>
      </c>
      <c r="C5" s="2" t="s">
        <v>12</v>
      </c>
      <c r="D5" s="3" t="n">
        <v>1899</v>
      </c>
      <c r="E5" s="3" t="n">
        <v>682</v>
      </c>
      <c r="F5" s="4" t="n">
        <f aca="false">(D5-E5)/E5</f>
        <v>1.78445747800587</v>
      </c>
      <c r="G5" s="2" t="str">
        <f aca="false">IF(F5&gt;0.1,"YES","No")</f>
        <v>YES</v>
      </c>
      <c r="H5" s="2" t="s">
        <v>25</v>
      </c>
      <c r="I5" s="2" t="s">
        <v>26</v>
      </c>
      <c r="J5" s="2" t="s">
        <v>27</v>
      </c>
    </row>
    <row r="6" customFormat="false" ht="22.35" hidden="false" customHeight="false" outlineLevel="0" collapsed="false">
      <c r="A6" s="5" t="s">
        <v>28</v>
      </c>
      <c r="B6" s="5" t="s">
        <v>29</v>
      </c>
      <c r="C6" s="5" t="s">
        <v>12</v>
      </c>
      <c r="D6" s="6" t="n">
        <v>899</v>
      </c>
      <c r="E6" s="7" t="s">
        <v>18</v>
      </c>
      <c r="F6" s="7" t="s">
        <v>19</v>
      </c>
      <c r="G6" s="7" t="s">
        <v>19</v>
      </c>
      <c r="H6" s="7"/>
      <c r="I6" s="7" t="s">
        <v>20</v>
      </c>
      <c r="J6" s="7"/>
    </row>
    <row r="7" customFormat="false" ht="22.35" hidden="false" customHeight="false" outlineLevel="0" collapsed="false">
      <c r="A7" s="5" t="s">
        <v>30</v>
      </c>
      <c r="B7" s="5" t="s">
        <v>31</v>
      </c>
      <c r="C7" s="5" t="s">
        <v>12</v>
      </c>
      <c r="D7" s="6" t="n">
        <v>999</v>
      </c>
      <c r="E7" s="7" t="s">
        <v>18</v>
      </c>
      <c r="F7" s="7" t="s">
        <v>19</v>
      </c>
      <c r="G7" s="7" t="s">
        <v>19</v>
      </c>
      <c r="H7" s="7"/>
      <c r="I7" s="7" t="s">
        <v>20</v>
      </c>
      <c r="J7" s="7"/>
    </row>
    <row r="8" customFormat="false" ht="23.85" hidden="false" customHeight="false" outlineLevel="0" collapsed="false">
      <c r="A8" s="2" t="s">
        <v>32</v>
      </c>
      <c r="B8" s="2" t="s">
        <v>33</v>
      </c>
      <c r="C8" s="2" t="s">
        <v>34</v>
      </c>
      <c r="D8" s="3" t="n">
        <v>1499</v>
      </c>
      <c r="E8" s="3" t="n">
        <v>798</v>
      </c>
      <c r="F8" s="4" t="n">
        <f aca="false">(D8-E8)/E8</f>
        <v>0.878446115288221</v>
      </c>
      <c r="G8" s="2" t="str">
        <f aca="false">IF(F8&gt;0.1,"YES","No")</f>
        <v>YES</v>
      </c>
      <c r="H8" s="2" t="s">
        <v>13</v>
      </c>
      <c r="I8" s="2" t="s">
        <v>35</v>
      </c>
      <c r="J8" s="2" t="s">
        <v>15</v>
      </c>
    </row>
    <row r="9" customFormat="false" ht="22.35" hidden="false" customHeight="false" outlineLevel="0" collapsed="false">
      <c r="A9" s="5" t="s">
        <v>36</v>
      </c>
      <c r="B9" s="5" t="s">
        <v>37</v>
      </c>
      <c r="C9" s="5" t="s">
        <v>34</v>
      </c>
      <c r="D9" s="6" t="n">
        <v>1799</v>
      </c>
      <c r="E9" s="7" t="s">
        <v>18</v>
      </c>
      <c r="F9" s="7" t="s">
        <v>19</v>
      </c>
      <c r="G9" s="7" t="s">
        <v>19</v>
      </c>
      <c r="H9" s="7"/>
      <c r="I9" s="7" t="s">
        <v>20</v>
      </c>
      <c r="J9" s="7"/>
    </row>
    <row r="10" customFormat="false" ht="23.85" hidden="false" customHeight="false" outlineLevel="0" collapsed="false">
      <c r="A10" s="2" t="s">
        <v>38</v>
      </c>
      <c r="B10" s="2" t="s">
        <v>39</v>
      </c>
      <c r="C10" s="2" t="s">
        <v>34</v>
      </c>
      <c r="D10" s="3" t="n">
        <v>1299</v>
      </c>
      <c r="E10" s="3" t="n">
        <v>575</v>
      </c>
      <c r="F10" s="4" t="n">
        <f aca="false">(D10-E10)/E10</f>
        <v>1.25913043478261</v>
      </c>
      <c r="G10" s="2" t="str">
        <f aca="false">IF(F10&gt;0.1,"YES","No")</f>
        <v>YES</v>
      </c>
      <c r="H10" s="2" t="s">
        <v>25</v>
      </c>
      <c r="I10" s="2" t="s">
        <v>40</v>
      </c>
      <c r="J10" s="2" t="s">
        <v>27</v>
      </c>
    </row>
    <row r="11" customFormat="false" ht="22.35" hidden="false" customHeight="false" outlineLevel="0" collapsed="false">
      <c r="A11" s="5" t="s">
        <v>41</v>
      </c>
      <c r="B11" s="5" t="s">
        <v>42</v>
      </c>
      <c r="C11" s="5" t="s">
        <v>34</v>
      </c>
      <c r="D11" s="6" t="n">
        <v>1199</v>
      </c>
      <c r="E11" s="7" t="s">
        <v>18</v>
      </c>
      <c r="F11" s="7" t="s">
        <v>19</v>
      </c>
      <c r="G11" s="7" t="s">
        <v>19</v>
      </c>
      <c r="H11" s="7"/>
      <c r="I11" s="7" t="s">
        <v>20</v>
      </c>
      <c r="J11" s="7"/>
    </row>
    <row r="12" customFormat="false" ht="22.35" hidden="false" customHeight="false" outlineLevel="0" collapsed="false">
      <c r="A12" s="5" t="s">
        <v>43</v>
      </c>
      <c r="B12" s="5" t="s">
        <v>44</v>
      </c>
      <c r="C12" s="5" t="s">
        <v>34</v>
      </c>
      <c r="D12" s="6" t="n">
        <v>1699</v>
      </c>
      <c r="E12" s="7" t="s">
        <v>18</v>
      </c>
      <c r="F12" s="7" t="s">
        <v>19</v>
      </c>
      <c r="G12" s="7" t="s">
        <v>19</v>
      </c>
      <c r="H12" s="7"/>
      <c r="I12" s="7" t="s">
        <v>20</v>
      </c>
      <c r="J12" s="7"/>
    </row>
    <row r="13" customFormat="false" ht="22.35" hidden="false" customHeight="false" outlineLevel="0" collapsed="false">
      <c r="A13" s="5" t="s">
        <v>45</v>
      </c>
      <c r="B13" s="5" t="s">
        <v>46</v>
      </c>
      <c r="C13" s="5" t="s">
        <v>34</v>
      </c>
      <c r="D13" s="6" t="n">
        <v>1599</v>
      </c>
      <c r="E13" s="7" t="s">
        <v>18</v>
      </c>
      <c r="F13" s="7" t="s">
        <v>19</v>
      </c>
      <c r="G13" s="7" t="s">
        <v>19</v>
      </c>
      <c r="H13" s="7"/>
      <c r="I13" s="7" t="s">
        <v>20</v>
      </c>
      <c r="J13" s="7"/>
    </row>
    <row r="14" customFormat="false" ht="23.85" hidden="false" customHeight="false" outlineLevel="0" collapsed="false">
      <c r="A14" s="2" t="s">
        <v>47</v>
      </c>
      <c r="B14" s="2" t="s">
        <v>48</v>
      </c>
      <c r="C14" s="2" t="s">
        <v>49</v>
      </c>
      <c r="D14" s="3" t="n">
        <v>1099</v>
      </c>
      <c r="E14" s="3" t="n">
        <v>548</v>
      </c>
      <c r="F14" s="4" t="n">
        <f aca="false">(D14-E14)/E14</f>
        <v>1.00547445255474</v>
      </c>
      <c r="G14" s="2" t="str">
        <f aca="false">IF(F14&gt;0.1,"YES","No")</f>
        <v>YES</v>
      </c>
      <c r="H14" s="2" t="s">
        <v>13</v>
      </c>
      <c r="I14" s="2" t="s">
        <v>50</v>
      </c>
      <c r="J14" s="2" t="s">
        <v>15</v>
      </c>
    </row>
    <row r="15" customFormat="false" ht="22.35" hidden="false" customHeight="false" outlineLevel="0" collapsed="false">
      <c r="A15" s="5" t="s">
        <v>51</v>
      </c>
      <c r="B15" s="5" t="s">
        <v>52</v>
      </c>
      <c r="C15" s="5" t="s">
        <v>49</v>
      </c>
      <c r="D15" s="6" t="n">
        <v>1599</v>
      </c>
      <c r="E15" s="7" t="s">
        <v>18</v>
      </c>
      <c r="F15" s="7" t="s">
        <v>19</v>
      </c>
      <c r="G15" s="7" t="s">
        <v>19</v>
      </c>
      <c r="H15" s="7"/>
      <c r="I15" s="7" t="s">
        <v>20</v>
      </c>
      <c r="J15" s="7"/>
    </row>
    <row r="16" customFormat="false" ht="23.85" hidden="false" customHeight="false" outlineLevel="0" collapsed="false">
      <c r="A16" s="2" t="s">
        <v>53</v>
      </c>
      <c r="B16" s="2" t="s">
        <v>54</v>
      </c>
      <c r="C16" s="2" t="s">
        <v>49</v>
      </c>
      <c r="D16" s="3" t="n">
        <v>1249</v>
      </c>
      <c r="E16" s="3" t="n">
        <v>417</v>
      </c>
      <c r="F16" s="4" t="n">
        <f aca="false">(D16-E16)/E16</f>
        <v>1.99520383693046</v>
      </c>
      <c r="G16" s="2" t="str">
        <f aca="false">IF(F16&gt;0.1,"YES","No")</f>
        <v>YES</v>
      </c>
      <c r="H16" s="2" t="s">
        <v>25</v>
      </c>
      <c r="I16" s="2" t="s">
        <v>55</v>
      </c>
      <c r="J16" s="2" t="s">
        <v>27</v>
      </c>
    </row>
    <row r="17" customFormat="false" ht="22.35" hidden="false" customHeight="false" outlineLevel="0" collapsed="false">
      <c r="A17" s="5" t="s">
        <v>56</v>
      </c>
      <c r="B17" s="5" t="s">
        <v>57</v>
      </c>
      <c r="C17" s="5" t="s">
        <v>49</v>
      </c>
      <c r="D17" s="6" t="n">
        <v>999</v>
      </c>
      <c r="E17" s="7" t="s">
        <v>18</v>
      </c>
      <c r="F17" s="7" t="s">
        <v>19</v>
      </c>
      <c r="G17" s="7" t="s">
        <v>19</v>
      </c>
      <c r="H17" s="7"/>
      <c r="I17" s="7" t="s">
        <v>20</v>
      </c>
      <c r="J17" s="7"/>
    </row>
    <row r="18" customFormat="false" ht="22.35" hidden="false" customHeight="false" outlineLevel="0" collapsed="false">
      <c r="A18" s="5" t="s">
        <v>58</v>
      </c>
      <c r="B18" s="5" t="s">
        <v>59</v>
      </c>
      <c r="C18" s="5" t="s">
        <v>49</v>
      </c>
      <c r="D18" s="6" t="n">
        <v>1399</v>
      </c>
      <c r="E18" s="7" t="s">
        <v>18</v>
      </c>
      <c r="F18" s="7" t="s">
        <v>19</v>
      </c>
      <c r="G18" s="7" t="s">
        <v>19</v>
      </c>
      <c r="H18" s="7"/>
      <c r="I18" s="7" t="s">
        <v>20</v>
      </c>
      <c r="J18" s="7"/>
    </row>
    <row r="19" customFormat="false" ht="22.35" hidden="false" customHeight="false" outlineLevel="0" collapsed="false">
      <c r="A19" s="5" t="s">
        <v>60</v>
      </c>
      <c r="B19" s="5" t="s">
        <v>61</v>
      </c>
      <c r="C19" s="5" t="s">
        <v>49</v>
      </c>
      <c r="D19" s="6" t="n">
        <v>849</v>
      </c>
      <c r="E19" s="7" t="s">
        <v>18</v>
      </c>
      <c r="F19" s="7" t="s">
        <v>19</v>
      </c>
      <c r="G19" s="7" t="s">
        <v>19</v>
      </c>
      <c r="H19" s="7"/>
      <c r="I19" s="7" t="s">
        <v>20</v>
      </c>
      <c r="J19" s="7"/>
    </row>
    <row r="20" customFormat="false" ht="23.85" hidden="false" customHeight="false" outlineLevel="0" collapsed="false">
      <c r="A20" s="2" t="s">
        <v>62</v>
      </c>
      <c r="B20" s="2" t="s">
        <v>63</v>
      </c>
      <c r="C20" s="2" t="s">
        <v>64</v>
      </c>
      <c r="D20" s="3" t="n">
        <v>499</v>
      </c>
      <c r="E20" s="3" t="n">
        <v>300</v>
      </c>
      <c r="F20" s="4" t="n">
        <f aca="false">(D20-E20)/E20</f>
        <v>0.663333333333333</v>
      </c>
      <c r="G20" s="2" t="str">
        <f aca="false">IF(F20&gt;0.1,"YES","No")</f>
        <v>YES</v>
      </c>
      <c r="H20" s="2" t="s">
        <v>13</v>
      </c>
      <c r="I20" s="2" t="s">
        <v>65</v>
      </c>
      <c r="J20" s="2" t="s">
        <v>15</v>
      </c>
    </row>
    <row r="21" customFormat="false" ht="23.85" hidden="false" customHeight="false" outlineLevel="0" collapsed="false">
      <c r="A21" s="2" t="s">
        <v>66</v>
      </c>
      <c r="B21" s="2" t="s">
        <v>67</v>
      </c>
      <c r="C21" s="2" t="s">
        <v>64</v>
      </c>
      <c r="D21" s="3" t="n">
        <v>499</v>
      </c>
      <c r="E21" s="3" t="n">
        <v>180</v>
      </c>
      <c r="F21" s="4" t="n">
        <f aca="false">(D21-E21)/E21</f>
        <v>1.77222222222222</v>
      </c>
      <c r="G21" s="2" t="str">
        <f aca="false">IF(F21&gt;0.1,"YES","No")</f>
        <v>YES</v>
      </c>
      <c r="H21" s="2" t="s">
        <v>25</v>
      </c>
      <c r="I21" s="2" t="s">
        <v>68</v>
      </c>
      <c r="J21" s="2" t="s">
        <v>27</v>
      </c>
    </row>
    <row r="22" customFormat="false" ht="23.85" hidden="false" customHeight="false" outlineLevel="0" collapsed="false">
      <c r="A22" s="2" t="s">
        <v>69</v>
      </c>
      <c r="B22" s="2" t="s">
        <v>70</v>
      </c>
      <c r="C22" s="2" t="s">
        <v>64</v>
      </c>
      <c r="D22" s="3" t="n">
        <v>699</v>
      </c>
      <c r="E22" s="3" t="n">
        <v>296</v>
      </c>
      <c r="F22" s="4" t="n">
        <f aca="false">(D22-E22)/E22</f>
        <v>1.36148648648649</v>
      </c>
      <c r="G22" s="2" t="str">
        <f aca="false">IF(F22&gt;0.1,"YES","No")</f>
        <v>YES</v>
      </c>
      <c r="H22" s="2" t="s">
        <v>13</v>
      </c>
      <c r="I22" s="2" t="s">
        <v>71</v>
      </c>
      <c r="J22" s="2" t="s">
        <v>15</v>
      </c>
    </row>
    <row r="23" customFormat="false" ht="35.05" hidden="false" customHeight="false" outlineLevel="0" collapsed="false">
      <c r="A23" s="2" t="s">
        <v>72</v>
      </c>
      <c r="B23" s="2" t="s">
        <v>73</v>
      </c>
      <c r="C23" s="2" t="s">
        <v>64</v>
      </c>
      <c r="D23" s="3" t="n">
        <v>649</v>
      </c>
      <c r="E23" s="3" t="n">
        <v>288</v>
      </c>
      <c r="F23" s="4" t="n">
        <f aca="false">(D23-E23)/E23</f>
        <v>1.25347222222222</v>
      </c>
      <c r="G23" s="2" t="str">
        <f aca="false">IF(F23&gt;0.1,"YES","No")</f>
        <v>YES</v>
      </c>
      <c r="H23" s="2" t="s">
        <v>25</v>
      </c>
      <c r="I23" s="2" t="s">
        <v>74</v>
      </c>
      <c r="J23" s="2" t="s">
        <v>27</v>
      </c>
    </row>
    <row r="24" customFormat="false" ht="22.35" hidden="false" customHeight="false" outlineLevel="0" collapsed="false">
      <c r="A24" s="5" t="s">
        <v>75</v>
      </c>
      <c r="B24" s="5" t="s">
        <v>76</v>
      </c>
      <c r="C24" s="5" t="s">
        <v>64</v>
      </c>
      <c r="D24" s="6" t="n">
        <v>599</v>
      </c>
      <c r="E24" s="7" t="s">
        <v>18</v>
      </c>
      <c r="F24" s="7" t="s">
        <v>19</v>
      </c>
      <c r="G24" s="7" t="s">
        <v>19</v>
      </c>
      <c r="H24" s="7"/>
      <c r="I24" s="7" t="s">
        <v>20</v>
      </c>
      <c r="J24" s="7"/>
    </row>
    <row r="25" customFormat="false" ht="22.35" hidden="false" customHeight="false" outlineLevel="0" collapsed="false">
      <c r="A25" s="5" t="s">
        <v>77</v>
      </c>
      <c r="B25" s="5" t="s">
        <v>78</v>
      </c>
      <c r="C25" s="5" t="s">
        <v>64</v>
      </c>
      <c r="D25" s="6" t="n">
        <v>799</v>
      </c>
      <c r="E25" s="7" t="s">
        <v>18</v>
      </c>
      <c r="F25" s="7" t="s">
        <v>19</v>
      </c>
      <c r="G25" s="7" t="s">
        <v>19</v>
      </c>
      <c r="H25" s="7"/>
      <c r="I25" s="7" t="s">
        <v>20</v>
      </c>
      <c r="J25" s="7"/>
    </row>
    <row r="26" customFormat="false" ht="22.35" hidden="false" customHeight="false" outlineLevel="0" collapsed="false">
      <c r="A26" s="5" t="s">
        <v>79</v>
      </c>
      <c r="B26" s="5" t="s">
        <v>80</v>
      </c>
      <c r="C26" s="5" t="s">
        <v>64</v>
      </c>
      <c r="D26" s="6" t="n">
        <v>649</v>
      </c>
      <c r="E26" s="7" t="s">
        <v>18</v>
      </c>
      <c r="F26" s="7" t="s">
        <v>19</v>
      </c>
      <c r="G26" s="7" t="s">
        <v>19</v>
      </c>
      <c r="H26" s="7"/>
      <c r="I26" s="7" t="s">
        <v>20</v>
      </c>
      <c r="J26" s="7"/>
    </row>
    <row r="28" customFormat="false" ht="15" hidden="false" customHeight="false" outlineLevel="0" collapsed="false">
      <c r="A28" s="8" t="s">
        <v>81</v>
      </c>
      <c r="B28" s="8"/>
      <c r="C28" s="8"/>
      <c r="D28" s="8"/>
      <c r="E28" s="8"/>
      <c r="F28" s="8"/>
      <c r="G28" s="8"/>
      <c r="H28" s="8"/>
      <c r="I28" s="8"/>
      <c r="J28" s="8"/>
    </row>
  </sheetData>
  <mergeCells count="1"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true" outlineLevel="0" max="7" min="5" style="0" width="6"/>
    <col collapsed="false" customWidth="true" hidden="false" outlineLevel="0" max="9" min="8" style="0" width="16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1" t="s">
        <v>0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</row>
    <row r="2" customFormat="false" ht="15" hidden="false" customHeight="false" outlineLevel="0" collapsed="false">
      <c r="A2" s="9" t="s">
        <v>10</v>
      </c>
      <c r="B2" s="10" t="n">
        <v>0.6004</v>
      </c>
      <c r="C2" s="10" t="n">
        <v>0.6083</v>
      </c>
      <c r="D2" s="10" t="n">
        <v>0.6044</v>
      </c>
      <c r="E2" s="11" t="n">
        <v>1</v>
      </c>
      <c r="F2" s="11" t="n">
        <v>2</v>
      </c>
      <c r="G2" s="11" t="n">
        <v>3</v>
      </c>
      <c r="H2" s="12" t="n">
        <f aca="false">SLOPE(B2:D2,E2:G2)*100</f>
        <v>0.199999999999995</v>
      </c>
      <c r="I2" s="9" t="str">
        <f aca="false">IF(AND(B2&gt;C2,C2&gt;D2),"Yes","No")</f>
        <v>No</v>
      </c>
      <c r="J2" s="13" t="str">
        <f aca="false">IF(AND(H2&lt;-1,I2="Yes"),"DECLINING","")</f>
        <v/>
      </c>
    </row>
    <row r="3" customFormat="false" ht="15" hidden="false" customHeight="false" outlineLevel="0" collapsed="false">
      <c r="A3" s="9" t="s">
        <v>16</v>
      </c>
      <c r="B3" s="10" t="n">
        <v>0.5922</v>
      </c>
      <c r="C3" s="10" t="n">
        <v>0.5916</v>
      </c>
      <c r="D3" s="10" t="n">
        <v>0.5952</v>
      </c>
      <c r="E3" s="11" t="n">
        <v>1</v>
      </c>
      <c r="F3" s="11" t="n">
        <v>2</v>
      </c>
      <c r="G3" s="11" t="n">
        <v>3</v>
      </c>
      <c r="H3" s="12" t="n">
        <f aca="false">SLOPE(B3:D3,E3:G3)*100</f>
        <v>0.150000000000006</v>
      </c>
      <c r="I3" s="9" t="str">
        <f aca="false">IF(AND(B3&gt;C3,C3&gt;D3),"Yes","No")</f>
        <v>No</v>
      </c>
      <c r="J3" s="13" t="str">
        <f aca="false">IF(AND(H3&lt;-1,I3="Yes"),"DECLINING","")</f>
        <v/>
      </c>
    </row>
    <row r="4" customFormat="false" ht="15" hidden="false" customHeight="false" outlineLevel="0" collapsed="false">
      <c r="A4" s="9" t="s">
        <v>21</v>
      </c>
      <c r="B4" s="10" t="n">
        <v>0.5772</v>
      </c>
      <c r="C4" s="10" t="n">
        <v>0.5599</v>
      </c>
      <c r="D4" s="10" t="n">
        <v>0.5722</v>
      </c>
      <c r="E4" s="11" t="n">
        <v>1</v>
      </c>
      <c r="F4" s="11" t="n">
        <v>2</v>
      </c>
      <c r="G4" s="11" t="n">
        <v>3</v>
      </c>
      <c r="H4" s="12" t="n">
        <f aca="false">SLOPE(B4:D4,E4:G4)*100</f>
        <v>-0.249999999999995</v>
      </c>
      <c r="I4" s="9" t="str">
        <f aca="false">IF(AND(B4&gt;C4,C4&gt;D4),"Yes","No")</f>
        <v>No</v>
      </c>
      <c r="J4" s="13" t="str">
        <f aca="false">IF(AND(H4&lt;-1,I4="Yes"),"DECLINING","")</f>
        <v/>
      </c>
    </row>
    <row r="5" customFormat="false" ht="15" hidden="false" customHeight="false" outlineLevel="0" collapsed="false">
      <c r="A5" s="9" t="s">
        <v>23</v>
      </c>
      <c r="B5" s="10" t="n">
        <v>0.5712</v>
      </c>
      <c r="C5" s="10" t="n">
        <v>0.5382</v>
      </c>
      <c r="D5" s="10" t="n">
        <v>0.4689</v>
      </c>
      <c r="E5" s="11" t="n">
        <v>1</v>
      </c>
      <c r="F5" s="11" t="n">
        <v>2</v>
      </c>
      <c r="G5" s="11" t="n">
        <v>3</v>
      </c>
      <c r="H5" s="12" t="n">
        <f aca="false">SLOPE(B5:D5,E5:G5)*100</f>
        <v>-5.115</v>
      </c>
      <c r="I5" s="9" t="str">
        <f aca="false">IF(AND(B5&gt;C5,C5&gt;D5),"Yes","No")</f>
        <v>Yes</v>
      </c>
      <c r="J5" s="13" t="str">
        <f aca="false">IF(AND(H5&lt;-1,I5="Yes"),"DECLINING","")</f>
        <v>DECLINING</v>
      </c>
    </row>
    <row r="6" customFormat="false" ht="15" hidden="false" customHeight="false" outlineLevel="0" collapsed="false">
      <c r="A6" s="9" t="s">
        <v>28</v>
      </c>
      <c r="B6" s="10" t="n">
        <v>0.6113</v>
      </c>
      <c r="C6" s="10" t="n">
        <v>0.6126</v>
      </c>
      <c r="D6" s="10" t="n">
        <v>0.6034</v>
      </c>
      <c r="E6" s="11" t="n">
        <v>1</v>
      </c>
      <c r="F6" s="11" t="n">
        <v>2</v>
      </c>
      <c r="G6" s="11" t="n">
        <v>3</v>
      </c>
      <c r="H6" s="12" t="n">
        <f aca="false">SLOPE(B6:D6,E6:G6)*100</f>
        <v>-0.395000000000001</v>
      </c>
      <c r="I6" s="9" t="str">
        <f aca="false">IF(AND(B6&gt;C6,C6&gt;D6),"Yes","No")</f>
        <v>No</v>
      </c>
      <c r="J6" s="13" t="str">
        <f aca="false">IF(AND(H6&lt;-1,I6="Yes"),"DECLINING","")</f>
        <v/>
      </c>
    </row>
    <row r="7" customFormat="false" ht="15" hidden="false" customHeight="false" outlineLevel="0" collapsed="false">
      <c r="A7" s="9" t="s">
        <v>30</v>
      </c>
      <c r="B7" s="10" t="n">
        <v>0.6171</v>
      </c>
      <c r="C7" s="10" t="n">
        <v>0.6178</v>
      </c>
      <c r="D7" s="10" t="n">
        <v>0.6198</v>
      </c>
      <c r="E7" s="11" t="n">
        <v>1</v>
      </c>
      <c r="F7" s="11" t="n">
        <v>2</v>
      </c>
      <c r="G7" s="11" t="n">
        <v>3</v>
      </c>
      <c r="H7" s="12" t="n">
        <f aca="false">SLOPE(B7:D7,E7:G7)*100</f>
        <v>0.135000000000002</v>
      </c>
      <c r="I7" s="9" t="str">
        <f aca="false">IF(AND(B7&gt;C7,C7&gt;D7),"Yes","No")</f>
        <v>No</v>
      </c>
      <c r="J7" s="13" t="str">
        <f aca="false">IF(AND(H7&lt;-1,I7="Yes"),"DECLINING","")</f>
        <v/>
      </c>
    </row>
    <row r="8" customFormat="false" ht="15" hidden="false" customHeight="false" outlineLevel="0" collapsed="false">
      <c r="A8" s="9" t="s">
        <v>32</v>
      </c>
      <c r="B8" s="10" t="n">
        <v>0.5728</v>
      </c>
      <c r="C8" s="10" t="n">
        <v>0.5813</v>
      </c>
      <c r="D8" s="10" t="n">
        <v>0.5822</v>
      </c>
      <c r="E8" s="11" t="n">
        <v>1</v>
      </c>
      <c r="F8" s="11" t="n">
        <v>2</v>
      </c>
      <c r="G8" s="11" t="n">
        <v>3</v>
      </c>
      <c r="H8" s="12" t="n">
        <f aca="false">SLOPE(B8:D8,E8:G8)*100</f>
        <v>0.469999999999998</v>
      </c>
      <c r="I8" s="9" t="str">
        <f aca="false">IF(AND(B8&gt;C8,C8&gt;D8),"Yes","No")</f>
        <v>No</v>
      </c>
      <c r="J8" s="13" t="str">
        <f aca="false">IF(AND(H8&lt;-1,I8="Yes"),"DECLINING","")</f>
        <v/>
      </c>
    </row>
    <row r="9" customFormat="false" ht="15" hidden="false" customHeight="false" outlineLevel="0" collapsed="false">
      <c r="A9" s="9" t="s">
        <v>36</v>
      </c>
      <c r="B9" s="10" t="n">
        <v>0.6196</v>
      </c>
      <c r="C9" s="10" t="n">
        <v>0.6237</v>
      </c>
      <c r="D9" s="10" t="n">
        <v>0.6182</v>
      </c>
      <c r="E9" s="11" t="n">
        <v>1</v>
      </c>
      <c r="F9" s="11" t="n">
        <v>2</v>
      </c>
      <c r="G9" s="11" t="n">
        <v>3</v>
      </c>
      <c r="H9" s="12" t="n">
        <f aca="false">SLOPE(B9:D9,E9:G9)*100</f>
        <v>-0.0700000000000034</v>
      </c>
      <c r="I9" s="9" t="str">
        <f aca="false">IF(AND(B9&gt;C9,C9&gt;D9),"Yes","No")</f>
        <v>No</v>
      </c>
      <c r="J9" s="13" t="str">
        <f aca="false">IF(AND(H9&lt;-1,I9="Yes"),"DECLINING","")</f>
        <v/>
      </c>
    </row>
    <row r="10" customFormat="false" ht="15" hidden="false" customHeight="false" outlineLevel="0" collapsed="false">
      <c r="A10" s="9" t="s">
        <v>38</v>
      </c>
      <c r="B10" s="10" t="n">
        <v>0.5877</v>
      </c>
      <c r="C10" s="10" t="n">
        <v>0.5324</v>
      </c>
      <c r="D10" s="10" t="n">
        <v>0.4834</v>
      </c>
      <c r="E10" s="11" t="n">
        <v>1</v>
      </c>
      <c r="F10" s="11" t="n">
        <v>2</v>
      </c>
      <c r="G10" s="11" t="n">
        <v>3</v>
      </c>
      <c r="H10" s="12" t="n">
        <f aca="false">SLOPE(B10:D10,E10:G10)*100</f>
        <v>-5.21499999999999</v>
      </c>
      <c r="I10" s="9" t="str">
        <f aca="false">IF(AND(B10&gt;C10,C10&gt;D10),"Yes","No")</f>
        <v>Yes</v>
      </c>
      <c r="J10" s="13" t="str">
        <f aca="false">IF(AND(H10&lt;-1,I10="Yes"),"DECLINING","")</f>
        <v>DECLINING</v>
      </c>
    </row>
    <row r="11" customFormat="false" ht="15" hidden="false" customHeight="false" outlineLevel="0" collapsed="false">
      <c r="A11" s="9" t="s">
        <v>41</v>
      </c>
      <c r="B11" s="10" t="n">
        <v>0.6257</v>
      </c>
      <c r="C11" s="10" t="n">
        <v>0.6245</v>
      </c>
      <c r="D11" s="10" t="n">
        <v>0.6282</v>
      </c>
      <c r="E11" s="11" t="n">
        <v>1</v>
      </c>
      <c r="F11" s="11" t="n">
        <v>2</v>
      </c>
      <c r="G11" s="11" t="n">
        <v>3</v>
      </c>
      <c r="H11" s="12" t="n">
        <f aca="false">SLOPE(B11:D11,E11:G11)*100</f>
        <v>0.124999999999997</v>
      </c>
      <c r="I11" s="9" t="str">
        <f aca="false">IF(AND(B11&gt;C11,C11&gt;D11),"Yes","No")</f>
        <v>No</v>
      </c>
      <c r="J11" s="13" t="str">
        <f aca="false">IF(AND(H11&lt;-1,I11="Yes"),"DECLINING","")</f>
        <v/>
      </c>
    </row>
    <row r="12" customFormat="false" ht="15" hidden="false" customHeight="false" outlineLevel="0" collapsed="false">
      <c r="A12" s="9" t="s">
        <v>43</v>
      </c>
      <c r="B12" s="10" t="n">
        <v>0.6192</v>
      </c>
      <c r="C12" s="10" t="n">
        <v>0.6148</v>
      </c>
      <c r="D12" s="10" t="n">
        <v>0.6174</v>
      </c>
      <c r="E12" s="11" t="n">
        <v>1</v>
      </c>
      <c r="F12" s="11" t="n">
        <v>2</v>
      </c>
      <c r="G12" s="11" t="n">
        <v>3</v>
      </c>
      <c r="H12" s="12" t="n">
        <f aca="false">SLOPE(B12:D12,E12:G12)*100</f>
        <v>-0.0899999999999956</v>
      </c>
      <c r="I12" s="9" t="str">
        <f aca="false">IF(AND(B12&gt;C12,C12&gt;D12),"Yes","No")</f>
        <v>No</v>
      </c>
      <c r="J12" s="13" t="str">
        <f aca="false">IF(AND(H12&lt;-1,I12="Yes"),"DECLINING","")</f>
        <v/>
      </c>
    </row>
    <row r="13" customFormat="false" ht="15" hidden="false" customHeight="false" outlineLevel="0" collapsed="false">
      <c r="A13" s="9" t="s">
        <v>45</v>
      </c>
      <c r="B13" s="10" t="n">
        <v>0.5982</v>
      </c>
      <c r="C13" s="10" t="n">
        <v>0.5892</v>
      </c>
      <c r="D13" s="10" t="n">
        <v>0.5877</v>
      </c>
      <c r="E13" s="11" t="n">
        <v>1</v>
      </c>
      <c r="F13" s="11" t="n">
        <v>2</v>
      </c>
      <c r="G13" s="11" t="n">
        <v>3</v>
      </c>
      <c r="H13" s="12" t="n">
        <f aca="false">SLOPE(B13:D13,E13:G13)*100</f>
        <v>-0.524999999999998</v>
      </c>
      <c r="I13" s="9" t="str">
        <f aca="false">IF(AND(B13&gt;C13,C13&gt;D13),"Yes","No")</f>
        <v>Yes</v>
      </c>
      <c r="J13" s="13" t="str">
        <f aca="false">IF(AND(H13&lt;-1,I13="Yes"),"DECLINING","")</f>
        <v/>
      </c>
    </row>
    <row r="14" customFormat="false" ht="15" hidden="false" customHeight="false" outlineLevel="0" collapsed="false">
      <c r="A14" s="9" t="s">
        <v>47</v>
      </c>
      <c r="B14" s="10" t="n">
        <v>0.5961</v>
      </c>
      <c r="C14" s="10" t="n">
        <v>0.6003</v>
      </c>
      <c r="D14" s="10" t="n">
        <v>0.6004</v>
      </c>
      <c r="E14" s="11" t="n">
        <v>1</v>
      </c>
      <c r="F14" s="11" t="n">
        <v>2</v>
      </c>
      <c r="G14" s="11" t="n">
        <v>3</v>
      </c>
      <c r="H14" s="12" t="n">
        <f aca="false">SLOPE(B14:D14,E14:G14)*100</f>
        <v>0.215000000000004</v>
      </c>
      <c r="I14" s="9" t="str">
        <f aca="false">IF(AND(B14&gt;C14,C14&gt;D14),"Yes","No")</f>
        <v>No</v>
      </c>
      <c r="J14" s="13" t="str">
        <f aca="false">IF(AND(H14&lt;-1,I14="Yes"),"DECLINING","")</f>
        <v/>
      </c>
    </row>
    <row r="15" customFormat="false" ht="15" hidden="false" customHeight="false" outlineLevel="0" collapsed="false">
      <c r="A15" s="9" t="s">
        <v>51</v>
      </c>
      <c r="B15" s="10" t="n">
        <v>0.5885</v>
      </c>
      <c r="C15" s="10" t="n">
        <v>0.5988</v>
      </c>
      <c r="D15" s="10" t="n">
        <v>0.5912</v>
      </c>
      <c r="E15" s="11" t="n">
        <v>1</v>
      </c>
      <c r="F15" s="11" t="n">
        <v>2</v>
      </c>
      <c r="G15" s="11" t="n">
        <v>3</v>
      </c>
      <c r="H15" s="12" t="n">
        <f aca="false">SLOPE(B15:D15,E15:G15)*100</f>
        <v>0.134999999999996</v>
      </c>
      <c r="I15" s="9" t="str">
        <f aca="false">IF(AND(B15&gt;C15,C15&gt;D15),"Yes","No")</f>
        <v>No</v>
      </c>
      <c r="J15" s="13" t="str">
        <f aca="false">IF(AND(H15&lt;-1,I15="Yes"),"DECLINING","")</f>
        <v/>
      </c>
    </row>
    <row r="16" customFormat="false" ht="15" hidden="false" customHeight="false" outlineLevel="0" collapsed="false">
      <c r="A16" s="9" t="s">
        <v>53</v>
      </c>
      <c r="B16" s="10" t="n">
        <v>0.6292</v>
      </c>
      <c r="C16" s="10" t="n">
        <v>0.6232</v>
      </c>
      <c r="D16" s="10" t="n">
        <v>0.6158</v>
      </c>
      <c r="E16" s="11" t="n">
        <v>1</v>
      </c>
      <c r="F16" s="11" t="n">
        <v>2</v>
      </c>
      <c r="G16" s="11" t="n">
        <v>3</v>
      </c>
      <c r="H16" s="12" t="n">
        <f aca="false">SLOPE(B16:D16,E16:G16)*100</f>
        <v>-0.669999999999998</v>
      </c>
      <c r="I16" s="9" t="str">
        <f aca="false">IF(AND(B16&gt;C16,C16&gt;D16),"Yes","No")</f>
        <v>Yes</v>
      </c>
      <c r="J16" s="13" t="str">
        <f aca="false">IF(AND(H16&lt;-1,I16="Yes"),"DECLINING","")</f>
        <v/>
      </c>
    </row>
    <row r="17" customFormat="false" ht="15" hidden="false" customHeight="false" outlineLevel="0" collapsed="false">
      <c r="A17" s="9" t="s">
        <v>56</v>
      </c>
      <c r="B17" s="10" t="n">
        <v>0.589</v>
      </c>
      <c r="C17" s="10" t="n">
        <v>0.5816</v>
      </c>
      <c r="D17" s="10" t="n">
        <v>0.585</v>
      </c>
      <c r="E17" s="11" t="n">
        <v>1</v>
      </c>
      <c r="F17" s="11" t="n">
        <v>2</v>
      </c>
      <c r="G17" s="11" t="n">
        <v>3</v>
      </c>
      <c r="H17" s="12" t="n">
        <f aca="false">SLOPE(B17:D17,E17:G17)*100</f>
        <v>-0.2</v>
      </c>
      <c r="I17" s="9" t="str">
        <f aca="false">IF(AND(B17&gt;C17,C17&gt;D17),"Yes","No")</f>
        <v>No</v>
      </c>
      <c r="J17" s="13" t="str">
        <f aca="false">IF(AND(H17&lt;-1,I17="Yes"),"DECLINING","")</f>
        <v/>
      </c>
    </row>
    <row r="18" customFormat="false" ht="15" hidden="false" customHeight="false" outlineLevel="0" collapsed="false">
      <c r="A18" s="9" t="s">
        <v>58</v>
      </c>
      <c r="B18" s="10" t="n">
        <v>0.6058</v>
      </c>
      <c r="C18" s="10" t="n">
        <v>0.5974</v>
      </c>
      <c r="D18" s="10" t="n">
        <v>0.6006</v>
      </c>
      <c r="E18" s="11" t="n">
        <v>1</v>
      </c>
      <c r="F18" s="11" t="n">
        <v>2</v>
      </c>
      <c r="G18" s="11" t="n">
        <v>3</v>
      </c>
      <c r="H18" s="12" t="n">
        <f aca="false">SLOPE(B18:D18,E18:G18)*100</f>
        <v>-0.259999999999999</v>
      </c>
      <c r="I18" s="9" t="str">
        <f aca="false">IF(AND(B18&gt;C18,C18&gt;D18),"Yes","No")</f>
        <v>No</v>
      </c>
      <c r="J18" s="13" t="str">
        <f aca="false">IF(AND(H18&lt;-1,I18="Yes"),"DECLINING","")</f>
        <v/>
      </c>
    </row>
    <row r="19" customFormat="false" ht="15" hidden="false" customHeight="false" outlineLevel="0" collapsed="false">
      <c r="A19" s="9" t="s">
        <v>60</v>
      </c>
      <c r="B19" s="10" t="n">
        <v>0.6157</v>
      </c>
      <c r="C19" s="10" t="n">
        <v>0.6174</v>
      </c>
      <c r="D19" s="10" t="n">
        <v>0.6133</v>
      </c>
      <c r="E19" s="11" t="n">
        <v>1</v>
      </c>
      <c r="F19" s="11" t="n">
        <v>2</v>
      </c>
      <c r="G19" s="11" t="n">
        <v>3</v>
      </c>
      <c r="H19" s="12" t="n">
        <f aca="false">SLOPE(B19:D19,E19:G19)*100</f>
        <v>-0.120000000000003</v>
      </c>
      <c r="I19" s="9" t="str">
        <f aca="false">IF(AND(B19&gt;C19,C19&gt;D19),"Yes","No")</f>
        <v>No</v>
      </c>
      <c r="J19" s="13" t="str">
        <f aca="false">IF(AND(H19&lt;-1,I19="Yes"),"DECLINING","")</f>
        <v/>
      </c>
    </row>
    <row r="20" customFormat="false" ht="15" hidden="false" customHeight="false" outlineLevel="0" collapsed="false">
      <c r="A20" s="9" t="s">
        <v>62</v>
      </c>
      <c r="B20" s="10" t="n">
        <v>0.5603</v>
      </c>
      <c r="C20" s="10" t="n">
        <v>0.5635</v>
      </c>
      <c r="D20" s="10" t="n">
        <v>0.5565</v>
      </c>
      <c r="E20" s="11" t="n">
        <v>1</v>
      </c>
      <c r="F20" s="11" t="n">
        <v>2</v>
      </c>
      <c r="G20" s="11" t="n">
        <v>3</v>
      </c>
      <c r="H20" s="12" t="n">
        <f aca="false">SLOPE(B20:D20,E20:G20)*100</f>
        <v>-0.190000000000001</v>
      </c>
      <c r="I20" s="9" t="str">
        <f aca="false">IF(AND(B20&gt;C20,C20&gt;D20),"Yes","No")</f>
        <v>No</v>
      </c>
      <c r="J20" s="13" t="str">
        <f aca="false">IF(AND(H20&lt;-1,I20="Yes"),"DECLINING","")</f>
        <v/>
      </c>
    </row>
    <row r="21" customFormat="false" ht="15" hidden="false" customHeight="false" outlineLevel="0" collapsed="false">
      <c r="A21" s="9" t="s">
        <v>66</v>
      </c>
      <c r="B21" s="10" t="n">
        <v>0.5199</v>
      </c>
      <c r="C21" s="10" t="n">
        <v>0.5191</v>
      </c>
      <c r="D21" s="10" t="n">
        <v>0.5069</v>
      </c>
      <c r="E21" s="11" t="n">
        <v>1</v>
      </c>
      <c r="F21" s="11" t="n">
        <v>2</v>
      </c>
      <c r="G21" s="11" t="n">
        <v>3</v>
      </c>
      <c r="H21" s="12" t="n">
        <f aca="false">SLOPE(B21:D21,E21:G21)*100</f>
        <v>-0.650000000000001</v>
      </c>
      <c r="I21" s="9" t="str">
        <f aca="false">IF(AND(B21&gt;C21,C21&gt;D21),"Yes","No")</f>
        <v>Yes</v>
      </c>
      <c r="J21" s="13" t="str">
        <f aca="false">IF(AND(H21&lt;-1,I21="Yes"),"DECLINING","")</f>
        <v/>
      </c>
    </row>
    <row r="22" customFormat="false" ht="15" hidden="false" customHeight="false" outlineLevel="0" collapsed="false">
      <c r="A22" s="9" t="s">
        <v>69</v>
      </c>
      <c r="B22" s="10" t="n">
        <v>0.5143</v>
      </c>
      <c r="C22" s="10" t="n">
        <v>0.4453</v>
      </c>
      <c r="D22" s="10" t="n">
        <v>0.3718</v>
      </c>
      <c r="E22" s="11" t="n">
        <v>1</v>
      </c>
      <c r="F22" s="11" t="n">
        <v>2</v>
      </c>
      <c r="G22" s="11" t="n">
        <v>3</v>
      </c>
      <c r="H22" s="12" t="n">
        <f aca="false">SLOPE(B22:D22,E22:G22)*100</f>
        <v>-7.125</v>
      </c>
      <c r="I22" s="9" t="str">
        <f aca="false">IF(AND(B22&gt;C22,C22&gt;D22),"Yes","No")</f>
        <v>Yes</v>
      </c>
      <c r="J22" s="13" t="str">
        <f aca="false">IF(AND(H22&lt;-1,I22="Yes"),"DECLINING","")</f>
        <v>DECLINING</v>
      </c>
    </row>
    <row r="23" customFormat="false" ht="15" hidden="false" customHeight="false" outlineLevel="0" collapsed="false">
      <c r="A23" s="9" t="s">
        <v>72</v>
      </c>
      <c r="B23" s="10" t="n">
        <v>0.5697</v>
      </c>
      <c r="C23" s="10" t="n">
        <v>0.5642</v>
      </c>
      <c r="D23" s="10" t="n">
        <v>0.5666</v>
      </c>
      <c r="E23" s="11" t="n">
        <v>1</v>
      </c>
      <c r="F23" s="11" t="n">
        <v>2</v>
      </c>
      <c r="G23" s="11" t="n">
        <v>3</v>
      </c>
      <c r="H23" s="12" t="n">
        <f aca="false">SLOPE(B23:D23,E23:G23)*100</f>
        <v>-0.155</v>
      </c>
      <c r="I23" s="9" t="str">
        <f aca="false">IF(AND(B23&gt;C23,C23&gt;D23),"Yes","No")</f>
        <v>No</v>
      </c>
      <c r="J23" s="13" t="str">
        <f aca="false">IF(AND(H23&lt;-1,I23="Yes"),"DECLINING","")</f>
        <v/>
      </c>
    </row>
    <row r="24" customFormat="false" ht="15" hidden="false" customHeight="false" outlineLevel="0" collapsed="false">
      <c r="A24" s="9" t="s">
        <v>75</v>
      </c>
      <c r="B24" s="10" t="n">
        <v>0.5466</v>
      </c>
      <c r="C24" s="10" t="n">
        <v>0.5353</v>
      </c>
      <c r="D24" s="10" t="n">
        <v>0.5452</v>
      </c>
      <c r="E24" s="11" t="n">
        <v>1</v>
      </c>
      <c r="F24" s="11" t="n">
        <v>2</v>
      </c>
      <c r="G24" s="11" t="n">
        <v>3</v>
      </c>
      <c r="H24" s="12" t="n">
        <f aca="false">SLOPE(B24:D24,E24:G24)*100</f>
        <v>-0.0699999999999978</v>
      </c>
      <c r="I24" s="9" t="str">
        <f aca="false">IF(AND(B24&gt;C24,C24&gt;D24),"Yes","No")</f>
        <v>No</v>
      </c>
      <c r="J24" s="13" t="str">
        <f aca="false">IF(AND(H24&lt;-1,I24="Yes"),"DECLINING","")</f>
        <v/>
      </c>
    </row>
    <row r="25" customFormat="false" ht="15" hidden="false" customHeight="false" outlineLevel="0" collapsed="false">
      <c r="A25" s="9" t="s">
        <v>77</v>
      </c>
      <c r="B25" s="10" t="n">
        <v>0.55</v>
      </c>
      <c r="C25" s="10" t="n">
        <v>0.5617</v>
      </c>
      <c r="D25" s="10" t="n">
        <v>0.562</v>
      </c>
      <c r="E25" s="11" t="n">
        <v>1</v>
      </c>
      <c r="F25" s="11" t="n">
        <v>2</v>
      </c>
      <c r="G25" s="11" t="n">
        <v>3</v>
      </c>
      <c r="H25" s="12" t="n">
        <f aca="false">SLOPE(B25:D25,E25:G25)*100</f>
        <v>0.600000000000001</v>
      </c>
      <c r="I25" s="9" t="str">
        <f aca="false">IF(AND(B25&gt;C25,C25&gt;D25),"Yes","No")</f>
        <v>No</v>
      </c>
      <c r="J25" s="13" t="str">
        <f aca="false">IF(AND(H25&lt;-1,I25="Yes"),"DECLINING","")</f>
        <v/>
      </c>
    </row>
    <row r="26" customFormat="false" ht="15" hidden="false" customHeight="false" outlineLevel="0" collapsed="false">
      <c r="A26" s="9" t="s">
        <v>79</v>
      </c>
      <c r="B26" s="10" t="n">
        <v>0.54</v>
      </c>
      <c r="C26" s="10" t="n">
        <v>0.5412</v>
      </c>
      <c r="D26" s="10" t="n">
        <v>0.5411</v>
      </c>
      <c r="E26" s="11" t="n">
        <v>1</v>
      </c>
      <c r="F26" s="11" t="n">
        <v>2</v>
      </c>
      <c r="G26" s="11" t="n">
        <v>3</v>
      </c>
      <c r="H26" s="12" t="n">
        <f aca="false">SLOPE(B26:D26,E26:G26)*100</f>
        <v>0.0549999999999995</v>
      </c>
      <c r="I26" s="9" t="str">
        <f aca="false">IF(AND(B26&gt;C26,C26&gt;D26),"Yes","No")</f>
        <v>No</v>
      </c>
      <c r="J26" s="13" t="str">
        <f aca="false">IF(AND(H26&lt;-1,I26="Yes"),"DECLINING","")</f>
        <v/>
      </c>
    </row>
    <row r="28" customFormat="false" ht="15" hidden="false" customHeight="false" outlineLevel="0" collapsed="false">
      <c r="A28" s="8" t="s">
        <v>91</v>
      </c>
      <c r="B28" s="8"/>
      <c r="C28" s="8"/>
      <c r="D28" s="8"/>
      <c r="E28" s="8"/>
      <c r="F28" s="8"/>
      <c r="G28" s="8"/>
      <c r="H28" s="8"/>
      <c r="I28" s="8"/>
      <c r="J28" s="8"/>
    </row>
  </sheetData>
  <mergeCells count="1">
    <mergeCell ref="A28:J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7"/>
    <col collapsed="false" customWidth="true" hidden="false" outlineLevel="0" max="10" min="10" style="0" width="11"/>
    <col collapsed="false" customWidth="true" hidden="false" outlineLevel="0" max="11" min="11" style="0" width="18"/>
  </cols>
  <sheetData>
    <row r="1" customFormat="false" ht="23.85" hidden="false" customHeight="false" outlineLevel="0" collapsed="false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4</v>
      </c>
      <c r="H1" s="1" t="s">
        <v>97</v>
      </c>
      <c r="I1" s="1" t="s">
        <v>98</v>
      </c>
      <c r="J1" s="1" t="s">
        <v>99</v>
      </c>
      <c r="K1" s="1" t="s">
        <v>100</v>
      </c>
    </row>
    <row r="2" customFormat="false" ht="15" hidden="false" customHeight="false" outlineLevel="0" collapsed="false">
      <c r="A2" s="9" t="s">
        <v>69</v>
      </c>
      <c r="B2" s="14" t="n">
        <v>395</v>
      </c>
      <c r="C2" s="15" t="n">
        <v>197098.26</v>
      </c>
      <c r="D2" s="10" t="n">
        <v>0.3718</v>
      </c>
      <c r="E2" s="16" t="n">
        <f aca="false">C2*D2</f>
        <v>73281.133068</v>
      </c>
      <c r="F2" s="16" t="n">
        <f aca="false">C2*(1-D2)/B2</f>
        <v>313.461080840506</v>
      </c>
      <c r="G2" s="15" t="n">
        <v>296</v>
      </c>
      <c r="H2" s="16" t="n">
        <f aca="false">G2*B2</f>
        <v>116920</v>
      </c>
      <c r="I2" s="16" t="n">
        <f aca="false">H2-(F2*B2)</f>
        <v>-6897.126932</v>
      </c>
      <c r="J2" s="17" t="n">
        <f aca="false">I2/H2</f>
        <v>-0.0589901379746835</v>
      </c>
      <c r="K2" s="18" t="n">
        <f aca="false">I2-E2</f>
        <v>-80178.26</v>
      </c>
    </row>
    <row r="3" customFormat="false" ht="15" hidden="false" customHeight="false" outlineLevel="0" collapsed="false">
      <c r="A3" s="9" t="s">
        <v>38</v>
      </c>
      <c r="B3" s="14" t="n">
        <v>248</v>
      </c>
      <c r="C3" s="15" t="n">
        <v>248497.22</v>
      </c>
      <c r="D3" s="10" t="n">
        <v>0.4834</v>
      </c>
      <c r="E3" s="16" t="n">
        <f aca="false">C3*D3</f>
        <v>120123.556148</v>
      </c>
      <c r="F3" s="16" t="n">
        <f aca="false">C3*(1-D3)/B3</f>
        <v>517.63574133871</v>
      </c>
      <c r="G3" s="15" t="n">
        <v>575</v>
      </c>
      <c r="H3" s="16" t="n">
        <f aca="false">G3*B3</f>
        <v>142600</v>
      </c>
      <c r="I3" s="16" t="n">
        <f aca="false">H3-(F3*B3)</f>
        <v>14226.336148</v>
      </c>
      <c r="J3" s="17" t="n">
        <f aca="false">I3/H3</f>
        <v>0.099763928106592</v>
      </c>
      <c r="K3" s="18" t="n">
        <f aca="false">I3-E3</f>
        <v>-105897.22</v>
      </c>
    </row>
    <row r="4" customFormat="false" ht="15" hidden="false" customHeight="false" outlineLevel="0" collapsed="false">
      <c r="A4" s="9" t="s">
        <v>23</v>
      </c>
      <c r="B4" s="14" t="n">
        <v>898</v>
      </c>
      <c r="C4" s="15" t="n">
        <v>1291707.53</v>
      </c>
      <c r="D4" s="10" t="n">
        <v>0.4689</v>
      </c>
      <c r="E4" s="16" t="n">
        <f aca="false">C4*D4</f>
        <v>605681.660817</v>
      </c>
      <c r="F4" s="16" t="n">
        <f aca="false">C4*(1-D4)/B4</f>
        <v>763.948629379733</v>
      </c>
      <c r="G4" s="15" t="n">
        <v>682</v>
      </c>
      <c r="H4" s="16" t="n">
        <f aca="false">G4*B4</f>
        <v>612436</v>
      </c>
      <c r="I4" s="16" t="n">
        <f aca="false">H4-(F4*B4)</f>
        <v>-73589.8691830001</v>
      </c>
      <c r="J4" s="17" t="n">
        <f aca="false">I4/H4</f>
        <v>-0.120159280615444</v>
      </c>
      <c r="K4" s="18" t="n">
        <f aca="false">I4-E4</f>
        <v>-679271.53</v>
      </c>
    </row>
    <row r="6" customFormat="false" ht="15" hidden="false" customHeight="false" outlineLevel="0" collapsed="false">
      <c r="A6" s="8" t="s">
        <v>101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customFormat="false" ht="15" hidden="false" customHeight="false" outlineLevel="0" collapsed="false">
      <c r="A7" s="19" t="s">
        <v>102</v>
      </c>
      <c r="B7" s="19"/>
      <c r="C7" s="19"/>
      <c r="D7" s="19"/>
      <c r="E7" s="19"/>
      <c r="F7" s="19"/>
      <c r="G7" s="19"/>
      <c r="H7" s="19"/>
      <c r="I7" s="19"/>
      <c r="J7" s="19"/>
      <c r="K7" s="19"/>
    </row>
  </sheetData>
  <mergeCells count="2">
    <mergeCell ref="A6:K6"/>
    <mergeCell ref="A7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20" t="s">
        <v>103</v>
      </c>
    </row>
    <row r="3" customFormat="false" ht="30" hidden="false" customHeight="true" outlineLevel="0" collapsed="false">
      <c r="A3" s="21" t="s">
        <v>104</v>
      </c>
    </row>
    <row r="4" customFormat="false" ht="30" hidden="false" customHeight="true" outlineLevel="0" collapsed="false">
      <c r="A4" s="21" t="s">
        <v>105</v>
      </c>
    </row>
    <row r="5" customFormat="false" ht="30" hidden="false" customHeight="true" outlineLevel="0" collapsed="false">
      <c r="A5" s="21" t="s">
        <v>106</v>
      </c>
    </row>
    <row r="6" customFormat="false" ht="30" hidden="false" customHeight="true" outlineLevel="0" collapsed="false">
      <c r="A6" s="21" t="s">
        <v>107</v>
      </c>
    </row>
    <row r="7" customFormat="false" ht="30" hidden="false" customHeight="true" outlineLevel="0" collapsed="false">
      <c r="A7" s="21" t="s">
        <v>108</v>
      </c>
    </row>
    <row r="8" customFormat="false" ht="30" hidden="false" customHeight="true" outlineLevel="0" collapsed="false">
      <c r="A8" s="21" t="s">
        <v>109</v>
      </c>
    </row>
    <row r="9" customFormat="false" ht="30" hidden="false" customHeight="true" outlineLevel="0" collapsed="false">
      <c r="A9" s="21" t="s">
        <v>110</v>
      </c>
    </row>
    <row r="10" customFormat="false" ht="30" hidden="false" customHeight="true" outlineLevel="0" collapsed="false">
      <c r="A10" s="2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2026-07-12T06:42:55Z</dcterms:created>
  <dc:creator>openpyxl</dc:creator>
  <dc:description/>
  <dc:language>en-US</dc:language>
  <cp:lastModifiedBy/>
  <dcterms:modified xsi:type="dcterms:W3CDTF">2026-07-12T06:42:55Z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